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o.sneto\Downloads\"/>
    </mc:Choice>
  </mc:AlternateContent>
  <xr:revisionPtr revIDLastSave="0" documentId="13_ncr:1_{4A6C7F53-05B6-45C9-A45A-828FE5FF3F94}" xr6:coauthVersionLast="47" xr6:coauthVersionMax="47" xr10:uidLastSave="{00000000-0000-0000-0000-000000000000}"/>
  <bookViews>
    <workbookView xWindow="-120" yWindow="-120" windowWidth="29040" windowHeight="15720" activeTab="2" xr2:uid="{7EE11A1B-D8A0-47BF-B57D-DC4C0340E186}"/>
    <workbookView xWindow="-120" yWindow="-120" windowWidth="29040" windowHeight="15720" xr2:uid="{BE3BB09C-EBC8-47FC-8B97-15BB28EBD3F4}"/>
  </bookViews>
  <sheets>
    <sheet name="Planilha1" sheetId="1" r:id="rId1"/>
    <sheet name="Planilha2" sheetId="2" r:id="rId2"/>
    <sheet name="Planilha3" sheetId="3" r:id="rId3"/>
  </sheets>
  <definedNames>
    <definedName name="_xlcn.WorksheetConnection_exercício.xlsxTabela22224" hidden="1">Tabela22224[]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22224" name="Tabela22224" connection="WorksheetConnection_exercício.xlsx!Tabela2222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B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F8" i="3" s="1"/>
  <c r="E2" i="3"/>
  <c r="E8" i="3" s="1"/>
  <c r="D2" i="3"/>
  <c r="D8" i="3" s="1"/>
  <c r="B20" i="2"/>
  <c r="B18" i="2"/>
  <c r="B16" i="2"/>
  <c r="B15" i="2"/>
  <c r="B13" i="2"/>
  <c r="B12" i="2"/>
  <c r="B11" i="2"/>
  <c r="C8" i="2"/>
  <c r="B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F8" i="2" s="1"/>
  <c r="E2" i="2"/>
  <c r="E8" i="2" s="1"/>
  <c r="D2" i="2"/>
  <c r="D8" i="2" s="1"/>
  <c r="D14" i="1"/>
  <c r="D15" i="1" s="1"/>
  <c r="D12" i="1"/>
  <c r="D8" i="1"/>
  <c r="E8" i="1"/>
  <c r="F8" i="1"/>
  <c r="E3" i="1"/>
  <c r="E2" i="1"/>
  <c r="F3" i="1"/>
  <c r="F4" i="1"/>
  <c r="F5" i="1"/>
  <c r="F6" i="1"/>
  <c r="F7" i="1"/>
  <c r="F2" i="1"/>
  <c r="E4" i="1"/>
  <c r="E5" i="1"/>
  <c r="E6" i="1"/>
  <c r="E7" i="1"/>
  <c r="D3" i="1"/>
  <c r="D4" i="1"/>
  <c r="D5" i="1"/>
  <c r="D6" i="1"/>
  <c r="D7" i="1"/>
  <c r="D2" i="1"/>
  <c r="C8" i="1"/>
  <c r="B8" i="1"/>
  <c r="D1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3818E7-9612-4FDD-B66C-729AE08935EA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6E8F2AD-6D39-4F3D-930B-BCFC7F6EFC96}" name="WorksheetConnection_exercício.xlsx!Tabela22224" type="102" refreshedVersion="7" minRefreshableVersion="5">
    <extLst>
      <ext xmlns:x15="http://schemas.microsoft.com/office/spreadsheetml/2010/11/main" uri="{DE250136-89BD-433C-8126-D09CA5730AF9}">
        <x15:connection id="Tabela22224" autoDelete="1">
          <x15:rangePr sourceName="_xlcn.WorksheetConnection_exercício.xlsxTabela22224"/>
        </x15:connection>
      </ext>
    </extLst>
  </connection>
</connections>
</file>

<file path=xl/sharedStrings.xml><?xml version="1.0" encoding="utf-8"?>
<sst xmlns="http://schemas.openxmlformats.org/spreadsheetml/2006/main" count="55" uniqueCount="28">
  <si>
    <t>COMPANHIA</t>
  </si>
  <si>
    <t>ANÚNCIOS (X)</t>
  </si>
  <si>
    <t>CARROS VENDIDOS (Y)</t>
  </si>
  <si>
    <t>A</t>
  </si>
  <si>
    <t>B</t>
  </si>
  <si>
    <t>C</t>
  </si>
  <si>
    <t>D</t>
  </si>
  <si>
    <t>E</t>
  </si>
  <si>
    <t>F</t>
  </si>
  <si>
    <t>TOTAL</t>
  </si>
  <si>
    <t>XY</t>
  </si>
  <si>
    <t>X²</t>
  </si>
  <si>
    <t>Y²</t>
  </si>
  <si>
    <t>N</t>
  </si>
  <si>
    <t>NUMERADOR</t>
  </si>
  <si>
    <t>DENOMINADOR</t>
  </si>
  <si>
    <t>RAIZ</t>
  </si>
  <si>
    <t>COEF. CORR r</t>
  </si>
  <si>
    <t>COEF. DE EXPLICAÇÃO R2</t>
  </si>
  <si>
    <t>FORTÍSSIMA</t>
  </si>
  <si>
    <t>b NUMERADOR</t>
  </si>
  <si>
    <t>b DENOMINADOR</t>
  </si>
  <si>
    <t>b VALOR</t>
  </si>
  <si>
    <t>Y MÉDIO</t>
  </si>
  <si>
    <t>X MÉDIO</t>
  </si>
  <si>
    <t>a VALOR</t>
  </si>
  <si>
    <t>Y</t>
  </si>
  <si>
    <t>PREVISÃO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</si>
</sst>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Vírgula" xfId="1" builtinId="3"/>
  </cellStyles>
  <dxfs count="30"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Dispersão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168732286842524"/>
                  <c:y val="3.464952992241046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Planilha3!$B$2:$B$7</c:f>
              <c:numCache>
                <c:formatCode>General</c:formatCode>
                <c:ptCount val="6"/>
                <c:pt idx="0">
                  <c:v>74</c:v>
                </c:pt>
                <c:pt idx="1">
                  <c:v>45</c:v>
                </c:pt>
                <c:pt idx="2">
                  <c:v>48</c:v>
                </c:pt>
                <c:pt idx="3">
                  <c:v>36</c:v>
                </c:pt>
                <c:pt idx="4">
                  <c:v>27</c:v>
                </c:pt>
                <c:pt idx="5">
                  <c:v>16</c:v>
                </c:pt>
              </c:numCache>
            </c:numRef>
          </c:xVal>
          <c:yVal>
            <c:numRef>
              <c:f>Planilha3!$C$2:$C$7</c:f>
              <c:numCache>
                <c:formatCode>General</c:formatCode>
                <c:ptCount val="6"/>
                <c:pt idx="0">
                  <c:v>139</c:v>
                </c:pt>
                <c:pt idx="1">
                  <c:v>108</c:v>
                </c:pt>
                <c:pt idx="2">
                  <c:v>98</c:v>
                </c:pt>
                <c:pt idx="3">
                  <c:v>76</c:v>
                </c:pt>
                <c:pt idx="4">
                  <c:v>62</c:v>
                </c:pt>
                <c:pt idx="5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52-4FBA-B372-2CF312CF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26591"/>
        <c:axId val="422828255"/>
      </c:scatterChart>
      <c:valAx>
        <c:axId val="42282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Anúncios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828255"/>
        <c:crosses val="autoZero"/>
        <c:crossBetween val="midCat"/>
      </c:valAx>
      <c:valAx>
        <c:axId val="42282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Carros Vendidos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82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10</xdr:row>
      <xdr:rowOff>157161</xdr:rowOff>
    </xdr:from>
    <xdr:to>
      <xdr:col>13</xdr:col>
      <xdr:colOff>571500</xdr:colOff>
      <xdr:row>31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C926A2-0993-4F8C-8764-BCCF6CD44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983C3E-43F3-4058-A54D-6042D0298892}" name="Tabela2" displayName="Tabela2" ref="A1:F8" totalsRowShown="0" headerRowDxfId="29" headerRowBorderDxfId="28" tableBorderDxfId="27" totalsRowBorderDxfId="26">
  <autoFilter ref="A1:F8" xr:uid="{B8983C3E-43F3-4058-A54D-6042D0298892}"/>
  <tableColumns count="6">
    <tableColumn id="1" xr3:uid="{957AFF5B-CF9E-4588-B663-B5690A7D1B21}" name="COMPANHIA" dataDxfId="25"/>
    <tableColumn id="2" xr3:uid="{AB018EB5-859F-4608-BE16-D92BDA174286}" name="ANÚNCIOS (X)" dataDxfId="24"/>
    <tableColumn id="3" xr3:uid="{5A7B68DC-F79E-4913-99E7-E4081AEE9774}" name="CARROS VENDIDOS (Y)" dataDxfId="23"/>
    <tableColumn id="4" xr3:uid="{EF96F96D-946A-43FF-BB97-429BF4995B31}" name="XY" dataDxfId="22"/>
    <tableColumn id="5" xr3:uid="{EE2EFFAD-B6CA-444A-BA5E-7C7D59AC79D2}" name="X²" dataDxfId="21"/>
    <tableColumn id="6" xr3:uid="{9DFD26E2-39D3-4286-82FB-D9F51780FD3A}" name="Y²" dataDxfId="2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F09D7B-B686-41FD-87B9-3C98BC584288}" name="Tabela222" displayName="Tabela222" ref="A1:F8" totalsRowShown="0" headerRowDxfId="19" headerRowBorderDxfId="18" tableBorderDxfId="17" totalsRowBorderDxfId="16">
  <autoFilter ref="A1:F8" xr:uid="{55F09D7B-B686-41FD-87B9-3C98BC584288}"/>
  <tableColumns count="6">
    <tableColumn id="1" xr3:uid="{52E94141-D329-4E85-AA6D-FE38273707A5}" name="COMPANHIA" dataDxfId="15"/>
    <tableColumn id="2" xr3:uid="{EA7DBF6C-CEAF-4A3E-AE5E-6971A9E1C6AA}" name="ANÚNCIOS (X)" dataDxfId="14"/>
    <tableColumn id="3" xr3:uid="{71C61ADB-0CCD-4828-8BD5-A8878C80D783}" name="CARROS VENDIDOS (Y)" dataDxfId="13"/>
    <tableColumn id="4" xr3:uid="{2E66D53B-ED85-4C5A-8099-62D1434090EB}" name="XY" dataDxfId="12"/>
    <tableColumn id="5" xr3:uid="{F0C017A6-7868-4A57-B58D-A4915620FB1B}" name="X²" dataDxfId="11"/>
    <tableColumn id="6" xr3:uid="{5EA305D4-9807-4385-8E3D-A12F9AAE04B4}" name="Y²" dataDxfId="1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B16A05C-720B-4FE7-985F-A5580F5CEFB8}" name="Tabela22224" displayName="Tabela22224" ref="A1:F8" totalsRowShown="0" headerRowDxfId="9" headerRowBorderDxfId="8" tableBorderDxfId="7" totalsRowBorderDxfId="6">
  <autoFilter ref="A1:F8" xr:uid="{2B16A05C-720B-4FE7-985F-A5580F5CEFB8}"/>
  <tableColumns count="6">
    <tableColumn id="1" xr3:uid="{7DAFE27B-316C-4A55-9CD2-01AEEEDA5C4B}" name="COMPANHIA" dataDxfId="5"/>
    <tableColumn id="2" xr3:uid="{6418B2AF-A576-44A8-8B51-A8264A38522D}" name="ANÚNCIOS (X)" dataDxfId="4"/>
    <tableColumn id="3" xr3:uid="{A001ADA1-15BB-42C3-B537-7BAD15E459B9}" name="CARROS VENDIDOS (Y)" dataDxfId="3"/>
    <tableColumn id="4" xr3:uid="{CD22D086-ED11-4C93-A217-E85CA9E5282C}" name="XY" dataDxfId="2"/>
    <tableColumn id="5" xr3:uid="{3B65CECD-AD91-4538-8123-78A2F77CBD6E}" name="X²" dataDxfId="1"/>
    <tableColumn id="6" xr3:uid="{B0AF8886-523F-42F3-9CC8-BA8AB98F0DD3}" name="Y²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FFA1-80D1-497D-84F0-4AD5D324D2FF}">
  <dimension ref="A1:F18"/>
  <sheetViews>
    <sheetView workbookViewId="0">
      <selection sqref="A1:F8"/>
    </sheetView>
    <sheetView tabSelected="1" workbookViewId="1"/>
  </sheetViews>
  <sheetFormatPr defaultRowHeight="15" x14ac:dyDescent="0.25"/>
  <cols>
    <col min="1" max="1" width="21.140625" customWidth="1"/>
    <col min="2" max="2" width="20.140625" customWidth="1"/>
    <col min="3" max="3" width="27.5703125" customWidth="1"/>
    <col min="4" max="4" width="13.42578125" customWidth="1"/>
    <col min="5" max="5" width="15" customWidth="1"/>
    <col min="6" max="6" width="20.140625" customWidth="1"/>
  </cols>
  <sheetData>
    <row r="1" spans="1:6" x14ac:dyDescent="0.25">
      <c r="A1" s="13" t="s">
        <v>0</v>
      </c>
      <c r="B1" s="14" t="s">
        <v>1</v>
      </c>
      <c r="C1" s="14" t="s">
        <v>2</v>
      </c>
      <c r="D1" s="14" t="s">
        <v>10</v>
      </c>
      <c r="E1" s="14" t="s">
        <v>11</v>
      </c>
      <c r="F1" s="15" t="s">
        <v>12</v>
      </c>
    </row>
    <row r="2" spans="1:6" x14ac:dyDescent="0.25">
      <c r="A2" s="11" t="s">
        <v>3</v>
      </c>
      <c r="B2" s="1">
        <v>74</v>
      </c>
      <c r="C2" s="1">
        <v>139</v>
      </c>
      <c r="D2" s="1">
        <f>B2*C2</f>
        <v>10286</v>
      </c>
      <c r="E2" s="1">
        <f>B2^2</f>
        <v>5476</v>
      </c>
      <c r="F2" s="12">
        <f>C2^2</f>
        <v>19321</v>
      </c>
    </row>
    <row r="3" spans="1:6" x14ac:dyDescent="0.25">
      <c r="A3" s="11" t="s">
        <v>4</v>
      </c>
      <c r="B3" s="1">
        <v>45</v>
      </c>
      <c r="C3" s="1">
        <v>108</v>
      </c>
      <c r="D3" s="1">
        <f t="shared" ref="D3:D7" si="0">B3*C3</f>
        <v>4860</v>
      </c>
      <c r="E3" s="1">
        <f>B3*B3</f>
        <v>2025</v>
      </c>
      <c r="F3" s="12">
        <f t="shared" ref="F3:F7" si="1">C3^2</f>
        <v>11664</v>
      </c>
    </row>
    <row r="4" spans="1:6" x14ac:dyDescent="0.25">
      <c r="A4" s="11" t="s">
        <v>5</v>
      </c>
      <c r="B4" s="1">
        <v>48</v>
      </c>
      <c r="C4" s="1">
        <v>98</v>
      </c>
      <c r="D4" s="1">
        <f t="shared" si="0"/>
        <v>4704</v>
      </c>
      <c r="E4" s="1">
        <f t="shared" ref="E4:E7" si="2">B4*B4</f>
        <v>2304</v>
      </c>
      <c r="F4" s="12">
        <f t="shared" si="1"/>
        <v>9604</v>
      </c>
    </row>
    <row r="5" spans="1:6" x14ac:dyDescent="0.25">
      <c r="A5" s="11" t="s">
        <v>6</v>
      </c>
      <c r="B5" s="1">
        <v>36</v>
      </c>
      <c r="C5" s="1">
        <v>76</v>
      </c>
      <c r="D5" s="1">
        <f t="shared" si="0"/>
        <v>2736</v>
      </c>
      <c r="E5" s="1">
        <f t="shared" si="2"/>
        <v>1296</v>
      </c>
      <c r="F5" s="12">
        <f t="shared" si="1"/>
        <v>5776</v>
      </c>
    </row>
    <row r="6" spans="1:6" x14ac:dyDescent="0.25">
      <c r="A6" s="11" t="s">
        <v>7</v>
      </c>
      <c r="B6" s="1">
        <v>27</v>
      </c>
      <c r="C6" s="1">
        <v>62</v>
      </c>
      <c r="D6" s="1">
        <f t="shared" si="0"/>
        <v>1674</v>
      </c>
      <c r="E6" s="1">
        <f t="shared" si="2"/>
        <v>729</v>
      </c>
      <c r="F6" s="12">
        <f t="shared" si="1"/>
        <v>3844</v>
      </c>
    </row>
    <row r="7" spans="1:6" x14ac:dyDescent="0.25">
      <c r="A7" s="11" t="s">
        <v>8</v>
      </c>
      <c r="B7" s="1">
        <v>16</v>
      </c>
      <c r="C7" s="1">
        <v>57</v>
      </c>
      <c r="D7" s="1">
        <f t="shared" si="0"/>
        <v>912</v>
      </c>
      <c r="E7" s="1">
        <f t="shared" si="2"/>
        <v>256</v>
      </c>
      <c r="F7" s="12">
        <f t="shared" si="1"/>
        <v>3249</v>
      </c>
    </row>
    <row r="8" spans="1:6" x14ac:dyDescent="0.25">
      <c r="A8" s="16" t="s">
        <v>9</v>
      </c>
      <c r="B8" s="17">
        <f>SUM(B2:B7)</f>
        <v>246</v>
      </c>
      <c r="C8" s="17">
        <f>SUM(C2:C7)</f>
        <v>540</v>
      </c>
      <c r="D8" s="17">
        <f t="shared" ref="D8:F8" si="3">SUM(D2:D7)</f>
        <v>25172</v>
      </c>
      <c r="E8" s="17">
        <f t="shared" si="3"/>
        <v>12086</v>
      </c>
      <c r="F8" s="18">
        <f t="shared" si="3"/>
        <v>53458</v>
      </c>
    </row>
    <row r="10" spans="1:6" x14ac:dyDescent="0.25">
      <c r="C10" s="4" t="s">
        <v>13</v>
      </c>
      <c r="D10" s="4">
        <v>6</v>
      </c>
    </row>
    <row r="11" spans="1:6" x14ac:dyDescent="0.25">
      <c r="C11" s="3"/>
      <c r="D11" s="3"/>
    </row>
    <row r="12" spans="1:6" x14ac:dyDescent="0.25">
      <c r="C12" s="8" t="s">
        <v>14</v>
      </c>
      <c r="D12" s="8">
        <f>(D10*D8)-(B8*C8)</f>
        <v>18192</v>
      </c>
    </row>
    <row r="13" spans="1:6" x14ac:dyDescent="0.25">
      <c r="C13" s="3"/>
      <c r="D13" s="3"/>
    </row>
    <row r="14" spans="1:6" x14ac:dyDescent="0.25">
      <c r="C14" s="7" t="s">
        <v>15</v>
      </c>
      <c r="D14" s="7">
        <f>((D10*E8)-(B8^2))*((D10*F8)-(C8^2))</f>
        <v>349776000</v>
      </c>
    </row>
    <row r="15" spans="1:6" x14ac:dyDescent="0.25">
      <c r="C15" s="3" t="s">
        <v>16</v>
      </c>
      <c r="D15" s="5">
        <f>SQRT(D14)</f>
        <v>18702.299323879939</v>
      </c>
    </row>
    <row r="16" spans="1:6" x14ac:dyDescent="0.25">
      <c r="C16" s="3"/>
      <c r="D16" s="3"/>
    </row>
    <row r="17" spans="3:5" x14ac:dyDescent="0.25">
      <c r="C17" s="9" t="s">
        <v>17</v>
      </c>
      <c r="D17" s="10">
        <f>D12/D15</f>
        <v>0.97271462107183981</v>
      </c>
      <c r="E17" s="2" t="s">
        <v>19</v>
      </c>
    </row>
    <row r="18" spans="3:5" x14ac:dyDescent="0.25">
      <c r="C18" s="6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C156-EA32-4C2E-B1D4-786094F62B4A}">
  <dimension ref="A1:F21"/>
  <sheetViews>
    <sheetView workbookViewId="0">
      <selection activeCell="E13" sqref="E13"/>
    </sheetView>
    <sheetView workbookViewId="1"/>
  </sheetViews>
  <sheetFormatPr defaultRowHeight="15" x14ac:dyDescent="0.25"/>
  <cols>
    <col min="1" max="1" width="21.140625" customWidth="1"/>
    <col min="2" max="2" width="20.140625" customWidth="1"/>
    <col min="3" max="3" width="27.5703125" customWidth="1"/>
    <col min="4" max="4" width="13.42578125" customWidth="1"/>
    <col min="5" max="5" width="15" customWidth="1"/>
    <col min="6" max="6" width="20.140625" customWidth="1"/>
  </cols>
  <sheetData>
    <row r="1" spans="1:6" x14ac:dyDescent="0.25">
      <c r="A1" s="13" t="s">
        <v>0</v>
      </c>
      <c r="B1" s="14" t="s">
        <v>1</v>
      </c>
      <c r="C1" s="14" t="s">
        <v>2</v>
      </c>
      <c r="D1" s="14" t="s">
        <v>10</v>
      </c>
      <c r="E1" s="14" t="s">
        <v>11</v>
      </c>
      <c r="F1" s="15" t="s">
        <v>12</v>
      </c>
    </row>
    <row r="2" spans="1:6" x14ac:dyDescent="0.25">
      <c r="A2" s="11" t="s">
        <v>3</v>
      </c>
      <c r="B2" s="1">
        <v>74</v>
      </c>
      <c r="C2" s="1">
        <v>139</v>
      </c>
      <c r="D2" s="1">
        <f>B2*C2</f>
        <v>10286</v>
      </c>
      <c r="E2" s="1">
        <f>B2^2</f>
        <v>5476</v>
      </c>
      <c r="F2" s="12">
        <f>C2^2</f>
        <v>19321</v>
      </c>
    </row>
    <row r="3" spans="1:6" x14ac:dyDescent="0.25">
      <c r="A3" s="11" t="s">
        <v>4</v>
      </c>
      <c r="B3" s="1">
        <v>45</v>
      </c>
      <c r="C3" s="1">
        <v>108</v>
      </c>
      <c r="D3" s="1">
        <f t="shared" ref="D3:D7" si="0">B3*C3</f>
        <v>4860</v>
      </c>
      <c r="E3" s="1">
        <f>B3*B3</f>
        <v>2025</v>
      </c>
      <c r="F3" s="12">
        <f t="shared" ref="F3:F7" si="1">C3^2</f>
        <v>11664</v>
      </c>
    </row>
    <row r="4" spans="1:6" x14ac:dyDescent="0.25">
      <c r="A4" s="11" t="s">
        <v>5</v>
      </c>
      <c r="B4" s="1">
        <v>48</v>
      </c>
      <c r="C4" s="1">
        <v>98</v>
      </c>
      <c r="D4" s="1">
        <f t="shared" si="0"/>
        <v>4704</v>
      </c>
      <c r="E4" s="1">
        <f t="shared" ref="E4:E7" si="2">B4*B4</f>
        <v>2304</v>
      </c>
      <c r="F4" s="12">
        <f t="shared" si="1"/>
        <v>9604</v>
      </c>
    </row>
    <row r="5" spans="1:6" x14ac:dyDescent="0.25">
      <c r="A5" s="11" t="s">
        <v>6</v>
      </c>
      <c r="B5" s="1">
        <v>36</v>
      </c>
      <c r="C5" s="1">
        <v>76</v>
      </c>
      <c r="D5" s="1">
        <f t="shared" si="0"/>
        <v>2736</v>
      </c>
      <c r="E5" s="1">
        <f t="shared" si="2"/>
        <v>1296</v>
      </c>
      <c r="F5" s="12">
        <f t="shared" si="1"/>
        <v>5776</v>
      </c>
    </row>
    <row r="6" spans="1:6" x14ac:dyDescent="0.25">
      <c r="A6" s="11" t="s">
        <v>7</v>
      </c>
      <c r="B6" s="1">
        <v>27</v>
      </c>
      <c r="C6" s="1">
        <v>62</v>
      </c>
      <c r="D6" s="1">
        <f t="shared" si="0"/>
        <v>1674</v>
      </c>
      <c r="E6" s="1">
        <f t="shared" si="2"/>
        <v>729</v>
      </c>
      <c r="F6" s="12">
        <f t="shared" si="1"/>
        <v>3844</v>
      </c>
    </row>
    <row r="7" spans="1:6" x14ac:dyDescent="0.25">
      <c r="A7" s="11" t="s">
        <v>8</v>
      </c>
      <c r="B7" s="1">
        <v>16</v>
      </c>
      <c r="C7" s="1">
        <v>57</v>
      </c>
      <c r="D7" s="1">
        <f t="shared" si="0"/>
        <v>912</v>
      </c>
      <c r="E7" s="1">
        <f t="shared" si="2"/>
        <v>256</v>
      </c>
      <c r="F7" s="12">
        <f t="shared" si="1"/>
        <v>3249</v>
      </c>
    </row>
    <row r="8" spans="1:6" x14ac:dyDescent="0.25">
      <c r="A8" s="16" t="s">
        <v>9</v>
      </c>
      <c r="B8" s="17">
        <f>SUM(B2:B7)</f>
        <v>246</v>
      </c>
      <c r="C8" s="17">
        <f>SUM(C2:C7)</f>
        <v>540</v>
      </c>
      <c r="D8" s="17">
        <f t="shared" ref="D8:F8" si="3">SUM(D2:D7)</f>
        <v>25172</v>
      </c>
      <c r="E8" s="17">
        <f t="shared" si="3"/>
        <v>12086</v>
      </c>
      <c r="F8" s="18">
        <f t="shared" si="3"/>
        <v>53458</v>
      </c>
    </row>
    <row r="10" spans="1:6" x14ac:dyDescent="0.25">
      <c r="A10" s="2" t="s">
        <v>13</v>
      </c>
      <c r="B10" s="2">
        <v>6</v>
      </c>
    </row>
    <row r="11" spans="1:6" x14ac:dyDescent="0.25">
      <c r="A11" s="2" t="s">
        <v>20</v>
      </c>
      <c r="B11" s="2">
        <f>(D8-((B8*C8)/B10))</f>
        <v>3032</v>
      </c>
    </row>
    <row r="12" spans="1:6" x14ac:dyDescent="0.25">
      <c r="A12" s="2" t="s">
        <v>21</v>
      </c>
      <c r="B12" s="2">
        <f>(E8-((B8^2)/B10))</f>
        <v>2000</v>
      </c>
    </row>
    <row r="13" spans="1:6" x14ac:dyDescent="0.25">
      <c r="A13" s="2" t="s">
        <v>22</v>
      </c>
      <c r="B13" s="2">
        <f>B11/B12</f>
        <v>1.516</v>
      </c>
    </row>
    <row r="15" spans="1:6" x14ac:dyDescent="0.25">
      <c r="A15" s="2" t="s">
        <v>23</v>
      </c>
      <c r="B15" s="2">
        <f>C8/B10</f>
        <v>90</v>
      </c>
    </row>
    <row r="16" spans="1:6" x14ac:dyDescent="0.25">
      <c r="A16" s="2" t="s">
        <v>24</v>
      </c>
      <c r="B16" s="2">
        <f>B8/B10</f>
        <v>41</v>
      </c>
    </row>
    <row r="18" spans="1:2" x14ac:dyDescent="0.25">
      <c r="A18" s="2" t="s">
        <v>25</v>
      </c>
      <c r="B18" s="2">
        <f>B15-(B13*B16)</f>
        <v>27.844000000000001</v>
      </c>
    </row>
    <row r="20" spans="1:2" x14ac:dyDescent="0.25">
      <c r="A20" s="2" t="s">
        <v>26</v>
      </c>
      <c r="B20" s="19">
        <f>B18 + (B13*B21)</f>
        <v>133.964</v>
      </c>
    </row>
    <row r="21" spans="1:2" x14ac:dyDescent="0.25">
      <c r="A21" s="2" t="s">
        <v>27</v>
      </c>
      <c r="B21" s="2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02B5-035B-4249-B6B9-C3FFD7FD5523}">
  <dimension ref="A1:F8"/>
  <sheetViews>
    <sheetView tabSelected="1" workbookViewId="0"/>
    <sheetView workbookViewId="1">
      <selection activeCell="P19" sqref="P19"/>
    </sheetView>
  </sheetViews>
  <sheetFormatPr defaultRowHeight="15" x14ac:dyDescent="0.25"/>
  <cols>
    <col min="1" max="1" width="21.140625" customWidth="1"/>
    <col min="2" max="2" width="20.140625" customWidth="1"/>
    <col min="3" max="3" width="27.5703125" customWidth="1"/>
    <col min="4" max="4" width="13.42578125" customWidth="1"/>
    <col min="5" max="5" width="15" customWidth="1"/>
    <col min="6" max="6" width="20.140625" customWidth="1"/>
  </cols>
  <sheetData>
    <row r="1" spans="1:6" x14ac:dyDescent="0.25">
      <c r="A1" s="13" t="s">
        <v>0</v>
      </c>
      <c r="B1" s="14" t="s">
        <v>1</v>
      </c>
      <c r="C1" s="14" t="s">
        <v>2</v>
      </c>
      <c r="D1" s="14" t="s">
        <v>10</v>
      </c>
      <c r="E1" s="14" t="s">
        <v>11</v>
      </c>
      <c r="F1" s="15" t="s">
        <v>12</v>
      </c>
    </row>
    <row r="2" spans="1:6" x14ac:dyDescent="0.25">
      <c r="A2" s="11" t="s">
        <v>3</v>
      </c>
      <c r="B2" s="1">
        <v>74</v>
      </c>
      <c r="C2" s="1">
        <v>139</v>
      </c>
      <c r="D2" s="1">
        <f>B2*C2</f>
        <v>10286</v>
      </c>
      <c r="E2" s="1">
        <f>B2^2</f>
        <v>5476</v>
      </c>
      <c r="F2" s="12">
        <f>C2^2</f>
        <v>19321</v>
      </c>
    </row>
    <row r="3" spans="1:6" x14ac:dyDescent="0.25">
      <c r="A3" s="11" t="s">
        <v>4</v>
      </c>
      <c r="B3" s="1">
        <v>45</v>
      </c>
      <c r="C3" s="1">
        <v>108</v>
      </c>
      <c r="D3" s="1">
        <f t="shared" ref="D3:D7" si="0">B3*C3</f>
        <v>4860</v>
      </c>
      <c r="E3" s="1">
        <f>B3*B3</f>
        <v>2025</v>
      </c>
      <c r="F3" s="12">
        <f t="shared" ref="F3:F7" si="1">C3^2</f>
        <v>11664</v>
      </c>
    </row>
    <row r="4" spans="1:6" x14ac:dyDescent="0.25">
      <c r="A4" s="11" t="s">
        <v>5</v>
      </c>
      <c r="B4" s="1">
        <v>48</v>
      </c>
      <c r="C4" s="1">
        <v>98</v>
      </c>
      <c r="D4" s="1">
        <f t="shared" si="0"/>
        <v>4704</v>
      </c>
      <c r="E4" s="1">
        <f t="shared" ref="E4:E7" si="2">B4*B4</f>
        <v>2304</v>
      </c>
      <c r="F4" s="12">
        <f t="shared" si="1"/>
        <v>9604</v>
      </c>
    </row>
    <row r="5" spans="1:6" x14ac:dyDescent="0.25">
      <c r="A5" s="11" t="s">
        <v>6</v>
      </c>
      <c r="B5" s="1">
        <v>36</v>
      </c>
      <c r="C5" s="1">
        <v>76</v>
      </c>
      <c r="D5" s="1">
        <f t="shared" si="0"/>
        <v>2736</v>
      </c>
      <c r="E5" s="1">
        <f t="shared" si="2"/>
        <v>1296</v>
      </c>
      <c r="F5" s="12">
        <f t="shared" si="1"/>
        <v>5776</v>
      </c>
    </row>
    <row r="6" spans="1:6" x14ac:dyDescent="0.25">
      <c r="A6" s="11" t="s">
        <v>7</v>
      </c>
      <c r="B6" s="1">
        <v>27</v>
      </c>
      <c r="C6" s="1">
        <v>62</v>
      </c>
      <c r="D6" s="1">
        <f t="shared" si="0"/>
        <v>1674</v>
      </c>
      <c r="E6" s="1">
        <f t="shared" si="2"/>
        <v>729</v>
      </c>
      <c r="F6" s="12">
        <f t="shared" si="1"/>
        <v>3844</v>
      </c>
    </row>
    <row r="7" spans="1:6" x14ac:dyDescent="0.25">
      <c r="A7" s="11" t="s">
        <v>8</v>
      </c>
      <c r="B7" s="1">
        <v>16</v>
      </c>
      <c r="C7" s="1">
        <v>57</v>
      </c>
      <c r="D7" s="1">
        <f t="shared" si="0"/>
        <v>912</v>
      </c>
      <c r="E7" s="1">
        <f t="shared" si="2"/>
        <v>256</v>
      </c>
      <c r="F7" s="12">
        <f t="shared" si="1"/>
        <v>3249</v>
      </c>
    </row>
    <row r="8" spans="1:6" x14ac:dyDescent="0.25">
      <c r="A8" s="16" t="s">
        <v>9</v>
      </c>
      <c r="B8" s="17">
        <f>SUM(B2:B7)</f>
        <v>246</v>
      </c>
      <c r="C8" s="17">
        <f>SUM(C2:C7)</f>
        <v>540</v>
      </c>
      <c r="D8" s="17">
        <f t="shared" ref="D8:F8" si="3">SUM(D2:D7)</f>
        <v>25172</v>
      </c>
      <c r="E8" s="17">
        <f t="shared" si="3"/>
        <v>12086</v>
      </c>
      <c r="F8" s="18">
        <f t="shared" si="3"/>
        <v>53458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Maria Dittert</dc:creator>
  <cp:lastModifiedBy>Germano Dionísio da Silva Neto</cp:lastModifiedBy>
  <dcterms:created xsi:type="dcterms:W3CDTF">2025-12-03T11:06:37Z</dcterms:created>
  <dcterms:modified xsi:type="dcterms:W3CDTF">2025-12-03T13:29:24Z</dcterms:modified>
</cp:coreProperties>
</file>